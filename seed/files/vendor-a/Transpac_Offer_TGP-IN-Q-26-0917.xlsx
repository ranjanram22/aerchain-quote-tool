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Offer" state="visible" r:id="rId4"/>
    <sheet sheetId="2" name="Compliance" state="visible" r:id="rId5"/>
  </sheets>
  <calcPr calcId="171027"/>
</workbook>
</file>

<file path=xl/sharedStrings.xml><?xml version="1.0" encoding="utf-8"?>
<sst xmlns="http://schemas.openxmlformats.org/spreadsheetml/2006/main" count="206" uniqueCount="141">
  <si>
    <t>TRANSPAC GLOBAL PACKAGING (INDIA) PVT LTD</t>
  </si>
  <si>
    <t>A member of the Transpac Group, Singapore  |  Warehouse: Bldg 7, Rajlaxmi Complex, Bhiwandi 421302</t>
  </si>
  <si>
    <t>Offer Ref:</t>
  </si>
  <si>
    <t>TGP/IN/Q/26-0917</t>
  </si>
  <si>
    <t>Currency:</t>
  </si>
  <si>
    <t>USD</t>
  </si>
  <si>
    <t>Date:</t>
  </si>
  <si>
    <t>29-Sep-2026</t>
  </si>
  <si>
    <t>Price basis:</t>
  </si>
  <si>
    <t>FCA Bhiwandi</t>
  </si>
  <si>
    <t>Customer:</t>
  </si>
  <si>
    <t>Chakan Plant – Corrugated FY27 RFQ</t>
  </si>
  <si>
    <t>Validity:</t>
  </si>
  <si>
    <t>60 days</t>
  </si>
  <si>
    <t>S/N</t>
  </si>
  <si>
    <t>Our Item Code</t>
  </si>
  <si>
    <t>Item Description</t>
  </si>
  <si>
    <t>Size (mm)</t>
  </si>
  <si>
    <t>Board Grade</t>
  </si>
  <si>
    <t>Est. Vol/yr</t>
  </si>
  <si>
    <t>UoM</t>
  </si>
  <si>
    <t>Unit Price</t>
  </si>
  <si>
    <t>Ext. Value</t>
  </si>
  <si>
    <t>TGP-CB1161</t>
  </si>
  <si>
    <t>Printed RSC 3PLY - 1C Flexo</t>
  </si>
  <si>
    <t>300 x 200 x 150</t>
  </si>
  <si>
    <t>3P 150/120/150 / BF18</t>
  </si>
  <si>
    <t>NOS</t>
  </si>
  <si>
    <t>TGP-CB1168</t>
  </si>
  <si>
    <t>Printed RSC 5PLY - 2C Flexo</t>
  </si>
  <si>
    <t>400 x 300 x 250</t>
  </si>
  <si>
    <t>5P 180/120/150/120/180 / BF20</t>
  </si>
  <si>
    <t>TGP-CB1175</t>
  </si>
  <si>
    <t>Printed Mailer E-Flute - 2C Flexo</t>
  </si>
  <si>
    <t>280 x 200 x 70</t>
  </si>
  <si>
    <t>3P 150/100/150 / BF18</t>
  </si>
  <si>
    <t>TGP-CB1007</t>
  </si>
  <si>
    <t>Shipper Carton 3PLY B-Flute RSC</t>
  </si>
  <si>
    <t>250 x 200 x 150</t>
  </si>
  <si>
    <t>TGP-CB1014</t>
  </si>
  <si>
    <t>300 x 200 x 200</t>
  </si>
  <si>
    <t>TGP-CB1021</t>
  </si>
  <si>
    <t>300 x 250 x 150</t>
  </si>
  <si>
    <t>TGP-CB1028</t>
  </si>
  <si>
    <t>Shipper Carton 3PLY C-Flute RSC</t>
  </si>
  <si>
    <t>350 x 250 x 200</t>
  </si>
  <si>
    <t>TGP-CB1035</t>
  </si>
  <si>
    <t>200 x 150 x 100</t>
  </si>
  <si>
    <t>3P 150/120/150 / BF16</t>
  </si>
  <si>
    <t>TGP-CB1042</t>
  </si>
  <si>
    <t>400 x 300 x 200</t>
  </si>
  <si>
    <t>TGP-CB1049</t>
  </si>
  <si>
    <t>250 x 250 x 250</t>
  </si>
  <si>
    <t>TGP-CB1056</t>
  </si>
  <si>
    <t>320 x 220 x 120</t>
  </si>
  <si>
    <t>TGP-CB1063</t>
  </si>
  <si>
    <t>Shipper Carton 5PLY BC-Flute RSC</t>
  </si>
  <si>
    <t>400 x 300 x 300</t>
  </si>
  <si>
    <t>TGP-CB1070</t>
  </si>
  <si>
    <t>450 x 350 x 300</t>
  </si>
  <si>
    <t>TGP-CB1077</t>
  </si>
  <si>
    <t>500 x 400 x 300</t>
  </si>
  <si>
    <t>TGP-CB1084</t>
  </si>
  <si>
    <t>500 x 300 x 250</t>
  </si>
  <si>
    <t>TGP-CB1091</t>
  </si>
  <si>
    <t>600 x 400 x 400</t>
  </si>
  <si>
    <t>5P 180/120/150/120/180 / BF22</t>
  </si>
  <si>
    <t>TGP-CB1098</t>
  </si>
  <si>
    <t>450 x 300 x 350</t>
  </si>
  <si>
    <t>TGP-CB1105</t>
  </si>
  <si>
    <t>550 x 450 x 350</t>
  </si>
  <si>
    <t>TGP-CB1112</t>
  </si>
  <si>
    <t>600 x 500 x 450</t>
  </si>
  <si>
    <t>TGP-CB1119</t>
  </si>
  <si>
    <t>HD Export Carton 7PLY</t>
  </si>
  <si>
    <t>600 x 400 x 500</t>
  </si>
  <si>
    <t>7P 200/120/150/120/150/120/200 / BF24</t>
  </si>
  <si>
    <t>TGP-CB1126</t>
  </si>
  <si>
    <t>800 x 600 x 500</t>
  </si>
  <si>
    <t>TGP-CB1133</t>
  </si>
  <si>
    <t>500 x 400 x 400</t>
  </si>
  <si>
    <t>TGP-CB1140</t>
  </si>
  <si>
    <t>E-Flute Die Cut Mailer (tuck front)</t>
  </si>
  <si>
    <t>250 x 180 x 60</t>
  </si>
  <si>
    <t>TGP-CB1147</t>
  </si>
  <si>
    <t>300 x 220 x 80</t>
  </si>
  <si>
    <t>TGP-CB1154</t>
  </si>
  <si>
    <t>350 x 250 x 100</t>
  </si>
  <si>
    <t>3P 180/100/150 / BF18</t>
  </si>
  <si>
    <t>TGP-CB1196</t>
  </si>
  <si>
    <t>Partition Insert 4 x 3</t>
  </si>
  <si>
    <t>400 x 300 x 280</t>
  </si>
  <si>
    <t>SET</t>
  </si>
  <si>
    <t>TGP-CB1203</t>
  </si>
  <si>
    <t>Partition Insert 6 x 4</t>
  </si>
  <si>
    <t>500 x 400 x 280</t>
  </si>
  <si>
    <t>TGP-CB1182</t>
  </si>
  <si>
    <t>Corr. Sheet 3PLY</t>
  </si>
  <si>
    <t>1000 x 800</t>
  </si>
  <si>
    <t>KG</t>
  </si>
  <si>
    <t>TGP-CB1189</t>
  </si>
  <si>
    <t>Corr. Pad 5PLY</t>
  </si>
  <si>
    <t>1200 x 1000</t>
  </si>
  <si>
    <t>5P 180/120/150/120/180 / BF18</t>
  </si>
  <si>
    <t>TGP-CB1210</t>
  </si>
  <si>
    <t>Edge Guard L-Profile</t>
  </si>
  <si>
    <t>50x50x5 T, L=1000</t>
  </si>
  <si>
    <t>Paperboard 5mm</t>
  </si>
  <si>
    <t>Total</t>
  </si>
  <si>
    <t>Commercial terms</t>
  </si>
  <si>
    <t>Freight: Not included. Road freight to Chakan charged at USD 850 per shipment (32 ft FTL). Estimated 4 shipments per month for the volumes above.</t>
  </si>
  <si>
    <t>Taxes: GST @18% extra as applicable, invoiced in INR at the SBI TT selling rate on the invoice date.</t>
  </si>
  <si>
    <t>Payment: 45 days from invoice.</t>
  </si>
  <si>
    <t>Lead time: 12 working days from PO for plain cartons; 15 working days for printed items.</t>
  </si>
  <si>
    <t>MOQ: 2,000 nos per SKU per call-off.</t>
  </si>
  <si>
    <t>Supplier Questionnaire Response</t>
  </si>
  <si>
    <t/>
  </si>
  <si>
    <t>ISO 9001</t>
  </si>
  <si>
    <t>Yes – ISO 9001:2015, cert no. QMS/IN/88213 (copy attached)</t>
  </si>
  <si>
    <t>FSC certification</t>
  </si>
  <si>
    <t>Yes – FSC Chain of Custody, FSC-C171204 (copy attached)</t>
  </si>
  <si>
    <t>In-house testing (burst/BCT/ECT)</t>
  </si>
  <si>
    <t>Yes – full lab at Bhiwandi; CoA with every lot</t>
  </si>
  <si>
    <t>Monthly capacity</t>
  </si>
  <si>
    <t>1,200 MT per month (India)</t>
  </si>
  <si>
    <t>Plant / distance to Chakan</t>
  </si>
  <si>
    <t>Converting plant at Bhiwandi, approx. 190 km</t>
  </si>
  <si>
    <t>Lead time</t>
  </si>
  <si>
    <t>12 working days (plain), 15 (printed)</t>
  </si>
  <si>
    <t>Payment terms</t>
  </si>
  <si>
    <t>45 days from invoice (group policy; 60 days not possible)</t>
  </si>
  <si>
    <t>QC process</t>
  </si>
  <si>
    <t>Incoming reel testing (GSM, BF, moisture), inline caliper checks, AQL 1.5 final inspection</t>
  </si>
  <si>
    <t>Printing</t>
  </si>
  <si>
    <t>Yes – up to 4-colour flexo in-house</t>
  </si>
  <si>
    <t>Food / pharma customers</t>
  </si>
  <si>
    <t>Supplying 3 multinational FMCG and 2 pharma companies in West India (names on request)</t>
  </si>
  <si>
    <t>Contingency</t>
  </si>
  <si>
    <t>Backup converting at group plant in Chennai; 3 weeks of paper stock</t>
  </si>
  <si>
    <t>GSTIN</t>
  </si>
  <si>
    <t>27AAHCT4821K1Z6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</si>
</sst>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0"/>
    <numFmt numFmtId="165" formatCode="&quot;$&quot;#,##0"/>
  </numFmts>
  <fonts count="7" x14ac:knownFonts="1">
    <font>
      <color theme="1"/>
      <family val="2"/>
      <scheme val="minor"/>
      <sz val="11"/>
      <name val="Calibri"/>
    </font>
    <font>
      <b/>
      <color rgb="FF1F3864"/>
      <sz val="16"/>
    </font>
    <font>
      <color rgb="FF595959"/>
      <sz val="9"/>
    </font>
    <font>
      <b/>
    </font>
    <font>
      <b/>
      <color rgb="FFFFFFFF"/>
    </font>
    <font>
      <sz val="10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FormatPr defaultRowHeight="15" outlineLevelRow="0" outlineLevelCol="0" x14ac:dyDescent="55"/>
  <cols>
    <col min="1" max="1" width="6" customWidth="1"/>
    <col min="2" max="2" width="14" customWidth="1"/>
    <col min="3" max="3" width="38" customWidth="1"/>
    <col min="4" max="4" width="18" customWidth="1"/>
    <col min="5" max="5" width="22" customWidth="1"/>
    <col min="6" max="6" width="11" customWidth="1"/>
    <col min="7" max="7" width="13" customWidth="1"/>
    <col min="8" max="8" width="1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7" x14ac:dyDescent="0.25">
      <c r="A4" s="3" t="s">
        <v>2</v>
      </c>
      <c r="B4" t="s">
        <v>3</v>
      </c>
      <c r="F4" s="3" t="s">
        <v>4</v>
      </c>
      <c r="G4" t="s">
        <v>5</v>
      </c>
    </row>
    <row r="5" spans="1:7" x14ac:dyDescent="0.25">
      <c r="A5" s="3" t="s">
        <v>6</v>
      </c>
      <c r="B5" t="s">
        <v>7</v>
      </c>
      <c r="F5" s="3" t="s">
        <v>8</v>
      </c>
      <c r="G5" t="s">
        <v>9</v>
      </c>
    </row>
    <row r="6" spans="1:7" x14ac:dyDescent="0.25">
      <c r="A6" s="3" t="s">
        <v>10</v>
      </c>
      <c r="B6" t="s">
        <v>11</v>
      </c>
      <c r="F6" s="3" t="s">
        <v>12</v>
      </c>
      <c r="G6" t="s">
        <v>13</v>
      </c>
    </row>
    <row r="8" spans="1:9" s="4" customFormat="1" x14ac:dyDescent="0.25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</row>
    <row r="9" spans="1:9" x14ac:dyDescent="0.25">
      <c r="A9">
        <v>1</v>
      </c>
      <c r="B9" t="s">
        <v>23</v>
      </c>
      <c r="C9" t="s">
        <v>24</v>
      </c>
      <c r="D9" t="s">
        <v>25</v>
      </c>
      <c r="E9" t="s">
        <v>26</v>
      </c>
      <c r="F9" s="6">
        <v>150000</v>
      </c>
      <c r="G9" t="s">
        <v>27</v>
      </c>
      <c r="H9" s="7">
        <v>0.139</v>
      </c>
      <c r="I9" s="8">
        <f>F9*H9</f>
      </c>
    </row>
    <row r="10" spans="1:9" x14ac:dyDescent="0.25">
      <c r="A10">
        <v>2</v>
      </c>
      <c r="B10" t="s">
        <v>28</v>
      </c>
      <c r="C10" t="s">
        <v>29</v>
      </c>
      <c r="D10" t="s">
        <v>30</v>
      </c>
      <c r="E10" t="s">
        <v>31</v>
      </c>
      <c r="F10" s="6">
        <v>60000</v>
      </c>
      <c r="G10" t="s">
        <v>27</v>
      </c>
      <c r="H10" s="7">
        <v>0.36</v>
      </c>
      <c r="I10" s="8">
        <f>F10*H10</f>
      </c>
    </row>
    <row r="11" spans="1:9" x14ac:dyDescent="0.25">
      <c r="A11">
        <v>3</v>
      </c>
      <c r="B11" t="s">
        <v>32</v>
      </c>
      <c r="C11" t="s">
        <v>33</v>
      </c>
      <c r="D11" t="s">
        <v>34</v>
      </c>
      <c r="E11" t="s">
        <v>35</v>
      </c>
      <c r="F11" s="6">
        <v>75000</v>
      </c>
      <c r="G11" t="s">
        <v>27</v>
      </c>
      <c r="H11" s="7">
        <v>0.198</v>
      </c>
      <c r="I11" s="8">
        <f>F11*H11</f>
      </c>
    </row>
    <row r="12" spans="1:9" x14ac:dyDescent="0.25">
      <c r="A12">
        <v>4</v>
      </c>
      <c r="B12" t="s">
        <v>36</v>
      </c>
      <c r="C12" t="s">
        <v>37</v>
      </c>
      <c r="D12" t="s">
        <v>38</v>
      </c>
      <c r="E12" t="s">
        <v>26</v>
      </c>
      <c r="F12" s="6">
        <v>140000</v>
      </c>
      <c r="G12" t="s">
        <v>27</v>
      </c>
      <c r="H12" s="7">
        <v>0.108</v>
      </c>
      <c r="I12" s="8">
        <f>F12*H12</f>
      </c>
    </row>
    <row r="13" spans="1:9" x14ac:dyDescent="0.25">
      <c r="A13">
        <v>5</v>
      </c>
      <c r="B13" t="s">
        <v>39</v>
      </c>
      <c r="C13" t="s">
        <v>37</v>
      </c>
      <c r="D13" t="s">
        <v>40</v>
      </c>
      <c r="E13" t="s">
        <v>26</v>
      </c>
      <c r="F13" s="6">
        <v>110000</v>
      </c>
      <c r="G13" t="s">
        <v>27</v>
      </c>
      <c r="H13" s="7">
        <v>0.134</v>
      </c>
      <c r="I13" s="8">
        <f>F13*H13</f>
      </c>
    </row>
    <row r="14" spans="1:9" x14ac:dyDescent="0.25">
      <c r="A14">
        <v>6</v>
      </c>
      <c r="B14" t="s">
        <v>41</v>
      </c>
      <c r="C14" t="s">
        <v>37</v>
      </c>
      <c r="D14" t="s">
        <v>42</v>
      </c>
      <c r="E14" t="s">
        <v>26</v>
      </c>
      <c r="F14" s="6">
        <v>90000</v>
      </c>
      <c r="G14" t="s">
        <v>27</v>
      </c>
      <c r="H14" s="7">
        <v>0.139</v>
      </c>
      <c r="I14" s="8">
        <f>F14*H14</f>
      </c>
    </row>
    <row r="15" spans="1:9" x14ac:dyDescent="0.25">
      <c r="A15">
        <v>7</v>
      </c>
      <c r="B15" t="s">
        <v>43</v>
      </c>
      <c r="C15" t="s">
        <v>44</v>
      </c>
      <c r="D15" t="s">
        <v>45</v>
      </c>
      <c r="E15" t="s">
        <v>26</v>
      </c>
      <c r="F15" s="6">
        <v>75000</v>
      </c>
      <c r="G15" t="s">
        <v>27</v>
      </c>
      <c r="H15" s="7">
        <v>0.164</v>
      </c>
      <c r="I15" s="8">
        <f>F15*H15</f>
      </c>
    </row>
    <row r="16" spans="1:9" x14ac:dyDescent="0.25">
      <c r="A16">
        <v>8</v>
      </c>
      <c r="B16" t="s">
        <v>46</v>
      </c>
      <c r="C16" t="s">
        <v>37</v>
      </c>
      <c r="D16" t="s">
        <v>47</v>
      </c>
      <c r="E16" t="s">
        <v>48</v>
      </c>
      <c r="F16" s="6">
        <v>190000</v>
      </c>
      <c r="G16" t="s">
        <v>27</v>
      </c>
      <c r="H16" s="7">
        <v>0.095</v>
      </c>
      <c r="I16" s="8">
        <f>F16*H16</f>
      </c>
    </row>
    <row r="17" spans="1:9" x14ac:dyDescent="0.25">
      <c r="A17">
        <v>9</v>
      </c>
      <c r="B17" t="s">
        <v>49</v>
      </c>
      <c r="C17" t="s">
        <v>44</v>
      </c>
      <c r="D17" t="s">
        <v>50</v>
      </c>
      <c r="E17" t="s">
        <v>26</v>
      </c>
      <c r="F17" s="6">
        <v>60000</v>
      </c>
      <c r="G17" t="s">
        <v>27</v>
      </c>
      <c r="H17" s="7">
        <v>0.184</v>
      </c>
      <c r="I17" s="8">
        <f>F17*H17</f>
      </c>
    </row>
    <row r="18" spans="1:9" x14ac:dyDescent="0.25">
      <c r="A18">
        <v>10</v>
      </c>
      <c r="B18" t="s">
        <v>51</v>
      </c>
      <c r="C18" t="s">
        <v>37</v>
      </c>
      <c r="D18" t="s">
        <v>52</v>
      </c>
      <c r="E18" t="s">
        <v>26</v>
      </c>
      <c r="F18" s="6">
        <v>68000</v>
      </c>
      <c r="G18" t="s">
        <v>27</v>
      </c>
      <c r="H18" s="7">
        <v>0.151</v>
      </c>
      <c r="I18" s="8">
        <f>F18*H18</f>
      </c>
    </row>
    <row r="19" spans="1:9" x14ac:dyDescent="0.25">
      <c r="A19">
        <v>11</v>
      </c>
      <c r="B19" t="s">
        <v>53</v>
      </c>
      <c r="C19" t="s">
        <v>37</v>
      </c>
      <c r="D19" t="s">
        <v>54</v>
      </c>
      <c r="E19" t="s">
        <v>48</v>
      </c>
      <c r="F19" s="6">
        <v>82000</v>
      </c>
      <c r="G19" t="s">
        <v>27</v>
      </c>
      <c r="H19" s="7">
        <v>0.125</v>
      </c>
      <c r="I19" s="8">
        <f>F19*H19</f>
      </c>
    </row>
    <row r="20" spans="1:9" x14ac:dyDescent="0.25">
      <c r="A20">
        <v>12</v>
      </c>
      <c r="B20" t="s">
        <v>55</v>
      </c>
      <c r="C20" t="s">
        <v>56</v>
      </c>
      <c r="D20" t="s">
        <v>57</v>
      </c>
      <c r="E20" t="s">
        <v>31</v>
      </c>
      <c r="F20" s="6">
        <v>68000</v>
      </c>
      <c r="G20" t="s">
        <v>27</v>
      </c>
      <c r="H20" s="7">
        <v>0.345</v>
      </c>
      <c r="I20" s="8">
        <f>F20*H20</f>
      </c>
    </row>
    <row r="21" spans="1:9" x14ac:dyDescent="0.25">
      <c r="A21">
        <v>13</v>
      </c>
      <c r="B21" t="s">
        <v>58</v>
      </c>
      <c r="C21" t="s">
        <v>56</v>
      </c>
      <c r="D21" t="s">
        <v>59</v>
      </c>
      <c r="E21" t="s">
        <v>31</v>
      </c>
      <c r="F21" s="6">
        <v>56000</v>
      </c>
      <c r="G21" t="s">
        <v>27</v>
      </c>
      <c r="H21" s="7">
        <v>0.407</v>
      </c>
      <c r="I21" s="8">
        <f>F21*H21</f>
      </c>
    </row>
    <row r="22" spans="1:9" x14ac:dyDescent="0.25">
      <c r="A22">
        <v>14</v>
      </c>
      <c r="B22" t="s">
        <v>60</v>
      </c>
      <c r="C22" t="s">
        <v>56</v>
      </c>
      <c r="D22" t="s">
        <v>61</v>
      </c>
      <c r="E22" t="s">
        <v>31</v>
      </c>
      <c r="F22" s="6">
        <v>45000</v>
      </c>
      <c r="G22" t="s">
        <v>27</v>
      </c>
      <c r="H22" s="7">
        <v>0.468</v>
      </c>
      <c r="I22" s="8">
        <f>F22*H22</f>
      </c>
    </row>
    <row r="23" spans="1:9" x14ac:dyDescent="0.25">
      <c r="A23">
        <v>15</v>
      </c>
      <c r="B23" t="s">
        <v>62</v>
      </c>
      <c r="C23" t="s">
        <v>56</v>
      </c>
      <c r="D23" t="s">
        <v>63</v>
      </c>
      <c r="E23" t="s">
        <v>31</v>
      </c>
      <c r="F23" s="6">
        <v>52000</v>
      </c>
      <c r="G23" t="s">
        <v>27</v>
      </c>
      <c r="H23" s="7">
        <v>0.379</v>
      </c>
      <c r="I23" s="8">
        <f>F23*H23</f>
      </c>
    </row>
    <row r="24" spans="1:9" x14ac:dyDescent="0.25">
      <c r="A24">
        <v>16</v>
      </c>
      <c r="B24" t="s">
        <v>64</v>
      </c>
      <c r="C24" t="s">
        <v>56</v>
      </c>
      <c r="D24" t="s">
        <v>65</v>
      </c>
      <c r="E24" t="s">
        <v>66</v>
      </c>
      <c r="F24" s="6">
        <v>30000</v>
      </c>
      <c r="G24" t="s">
        <v>27</v>
      </c>
      <c r="H24" s="7">
        <v>0.635</v>
      </c>
      <c r="I24" s="8">
        <f>F24*H24</f>
      </c>
    </row>
    <row r="25" spans="1:9" x14ac:dyDescent="0.25">
      <c r="A25">
        <v>17</v>
      </c>
      <c r="B25" t="s">
        <v>67</v>
      </c>
      <c r="C25" t="s">
        <v>56</v>
      </c>
      <c r="D25" t="s">
        <v>68</v>
      </c>
      <c r="E25" t="s">
        <v>31</v>
      </c>
      <c r="F25" s="6">
        <v>48000</v>
      </c>
      <c r="G25" t="s">
        <v>27</v>
      </c>
      <c r="H25" s="7">
        <v>0.396</v>
      </c>
      <c r="I25" s="8">
        <f>F25*H25</f>
      </c>
    </row>
    <row r="26" spans="1:9" x14ac:dyDescent="0.25">
      <c r="A26">
        <v>18</v>
      </c>
      <c r="B26" t="s">
        <v>69</v>
      </c>
      <c r="C26" t="s">
        <v>56</v>
      </c>
      <c r="D26" t="s">
        <v>70</v>
      </c>
      <c r="E26" t="s">
        <v>66</v>
      </c>
      <c r="F26" s="6">
        <v>34000</v>
      </c>
      <c r="G26" t="s">
        <v>27</v>
      </c>
      <c r="H26" s="7">
        <v>0.546</v>
      </c>
      <c r="I26" s="8">
        <f>F26*H26</f>
      </c>
    </row>
    <row r="27" spans="1:9" x14ac:dyDescent="0.25">
      <c r="A27">
        <v>19</v>
      </c>
      <c r="B27" t="s">
        <v>71</v>
      </c>
      <c r="C27" t="s">
        <v>56</v>
      </c>
      <c r="D27" t="s">
        <v>72</v>
      </c>
      <c r="E27" t="s">
        <v>66</v>
      </c>
      <c r="F27" s="6">
        <v>22000</v>
      </c>
      <c r="G27" t="s">
        <v>27</v>
      </c>
      <c r="H27" s="7">
        <v>0.747</v>
      </c>
      <c r="I27" s="8">
        <f>F27*H27</f>
      </c>
    </row>
    <row r="28" spans="1:9" x14ac:dyDescent="0.25">
      <c r="A28">
        <v>20</v>
      </c>
      <c r="B28" t="s">
        <v>73</v>
      </c>
      <c r="C28" t="s">
        <v>74</v>
      </c>
      <c r="D28" t="s">
        <v>75</v>
      </c>
      <c r="E28" t="s">
        <v>76</v>
      </c>
      <c r="F28" s="6">
        <v>11000</v>
      </c>
      <c r="G28" t="s">
        <v>27</v>
      </c>
      <c r="H28" s="7">
        <v>1.241</v>
      </c>
      <c r="I28" s="8">
        <f>F28*H28</f>
      </c>
    </row>
    <row r="29" spans="1:9" x14ac:dyDescent="0.25">
      <c r="A29">
        <v>21</v>
      </c>
      <c r="B29" t="s">
        <v>77</v>
      </c>
      <c r="C29" t="s">
        <v>74</v>
      </c>
      <c r="D29" t="s">
        <v>78</v>
      </c>
      <c r="E29" t="s">
        <v>76</v>
      </c>
      <c r="F29" s="6">
        <v>6000</v>
      </c>
      <c r="G29" t="s">
        <v>27</v>
      </c>
      <c r="H29" s="7">
        <v>1.81</v>
      </c>
      <c r="I29" s="8">
        <f>F29*H29</f>
      </c>
    </row>
    <row r="30" spans="1:9" x14ac:dyDescent="0.25">
      <c r="A30">
        <v>22</v>
      </c>
      <c r="B30" t="s">
        <v>79</v>
      </c>
      <c r="C30" t="s">
        <v>74</v>
      </c>
      <c r="D30" t="s">
        <v>80</v>
      </c>
      <c r="E30" t="s">
        <v>76</v>
      </c>
      <c r="F30" s="6">
        <v>15000</v>
      </c>
      <c r="G30" t="s">
        <v>27</v>
      </c>
      <c r="H30" s="7">
        <v>0.989</v>
      </c>
      <c r="I30" s="8">
        <f>F30*H30</f>
      </c>
    </row>
    <row r="31" spans="1:9" x14ac:dyDescent="0.25">
      <c r="A31">
        <v>23</v>
      </c>
      <c r="B31" t="s">
        <v>81</v>
      </c>
      <c r="C31" t="s">
        <v>82</v>
      </c>
      <c r="D31" t="s">
        <v>83</v>
      </c>
      <c r="E31" t="s">
        <v>35</v>
      </c>
      <c r="F31" s="6">
        <v>90000</v>
      </c>
      <c r="G31" t="s">
        <v>27</v>
      </c>
      <c r="H31" s="7">
        <v>0.156</v>
      </c>
      <c r="I31" s="8">
        <f>F31*H31</f>
      </c>
    </row>
    <row r="32" spans="1:9" x14ac:dyDescent="0.25">
      <c r="A32">
        <v>24</v>
      </c>
      <c r="B32" t="s">
        <v>84</v>
      </c>
      <c r="C32" t="s">
        <v>82</v>
      </c>
      <c r="D32" t="s">
        <v>85</v>
      </c>
      <c r="E32" t="s">
        <v>35</v>
      </c>
      <c r="F32" s="6">
        <v>68000</v>
      </c>
      <c r="G32" t="s">
        <v>27</v>
      </c>
      <c r="H32" s="7">
        <v>0.198</v>
      </c>
      <c r="I32" s="8">
        <f>F32*H32</f>
      </c>
    </row>
    <row r="33" spans="1:9" x14ac:dyDescent="0.25">
      <c r="A33">
        <v>25</v>
      </c>
      <c r="B33" t="s">
        <v>86</v>
      </c>
      <c r="C33" t="s">
        <v>82</v>
      </c>
      <c r="D33" t="s">
        <v>87</v>
      </c>
      <c r="E33" t="s">
        <v>88</v>
      </c>
      <c r="F33" s="6">
        <v>45000</v>
      </c>
      <c r="G33" t="s">
        <v>27</v>
      </c>
      <c r="H33" s="7">
        <v>0.252</v>
      </c>
      <c r="I33" s="8">
        <f>F33*H33</f>
      </c>
    </row>
    <row r="34" spans="1:9" x14ac:dyDescent="0.25">
      <c r="A34">
        <v>26</v>
      </c>
      <c r="B34" t="s">
        <v>89</v>
      </c>
      <c r="C34" t="s">
        <v>90</v>
      </c>
      <c r="D34" t="s">
        <v>91</v>
      </c>
      <c r="E34" t="s">
        <v>48</v>
      </c>
      <c r="F34" s="6">
        <v>45000</v>
      </c>
      <c r="G34" t="s">
        <v>92</v>
      </c>
      <c r="H34" s="7">
        <v>0.093</v>
      </c>
      <c r="I34" s="8">
        <f>F34*H34</f>
      </c>
    </row>
    <row r="35" spans="1:9" x14ac:dyDescent="0.25">
      <c r="A35">
        <v>27</v>
      </c>
      <c r="B35" t="s">
        <v>93</v>
      </c>
      <c r="C35" t="s">
        <v>94</v>
      </c>
      <c r="D35" t="s">
        <v>95</v>
      </c>
      <c r="E35" t="s">
        <v>48</v>
      </c>
      <c r="F35" s="6">
        <v>22000</v>
      </c>
      <c r="G35" t="s">
        <v>92</v>
      </c>
      <c r="H35" s="7">
        <v>0.15</v>
      </c>
      <c r="I35" s="8">
        <f>F35*H35</f>
      </c>
    </row>
    <row r="36" spans="1:9" x14ac:dyDescent="0.25">
      <c r="A36">
        <v>28</v>
      </c>
      <c r="B36" t="s">
        <v>96</v>
      </c>
      <c r="C36" t="s">
        <v>97</v>
      </c>
      <c r="D36" t="s">
        <v>98</v>
      </c>
      <c r="E36" t="s">
        <v>48</v>
      </c>
      <c r="F36" s="6">
        <v>30000</v>
      </c>
      <c r="G36" t="s">
        <v>99</v>
      </c>
      <c r="H36" s="7">
        <v>0.554</v>
      </c>
      <c r="I36" s="8">
        <f>F36*H36</f>
      </c>
    </row>
    <row r="37" spans="1:9" x14ac:dyDescent="0.25">
      <c r="A37">
        <v>29</v>
      </c>
      <c r="B37" t="s">
        <v>100</v>
      </c>
      <c r="C37" t="s">
        <v>101</v>
      </c>
      <c r="D37" t="s">
        <v>102</v>
      </c>
      <c r="E37" t="s">
        <v>103</v>
      </c>
      <c r="F37" s="6">
        <v>19000</v>
      </c>
      <c r="G37" t="s">
        <v>99</v>
      </c>
      <c r="H37" s="7">
        <v>0.588</v>
      </c>
      <c r="I37" s="8">
        <f>F37*H37</f>
      </c>
    </row>
    <row r="38" spans="1:9" x14ac:dyDescent="0.25">
      <c r="A38">
        <v>30</v>
      </c>
      <c r="B38" t="s">
        <v>104</v>
      </c>
      <c r="C38" t="s">
        <v>105</v>
      </c>
      <c r="D38" t="s">
        <v>106</v>
      </c>
      <c r="E38" t="s">
        <v>107</v>
      </c>
      <c r="F38" s="6">
        <v>110000</v>
      </c>
      <c r="G38" t="s">
        <v>27</v>
      </c>
      <c r="H38" s="7">
        <v>0.072</v>
      </c>
      <c r="I38" s="8">
        <f>F38*H38</f>
      </c>
    </row>
    <row r="39" spans="8:9" s="3" customFormat="1" x14ac:dyDescent="0.25">
      <c r="H39" s="3" t="s">
        <v>108</v>
      </c>
      <c r="I39" s="9">
        <f>SUM(I9:I38)</f>
      </c>
    </row>
    <row r="41" spans="1:9" x14ac:dyDescent="0.25">
      <c r="A41" s="10" t="s">
        <v>109</v>
      </c>
      <c r="B41" s="10"/>
      <c r="C41" s="10"/>
      <c r="D41" s="10"/>
      <c r="E41" s="10"/>
      <c r="F41" s="10"/>
      <c r="G41" s="10"/>
      <c r="H41" s="10"/>
      <c r="I41" s="10"/>
    </row>
    <row r="42" spans="1:9" x14ac:dyDescent="0.25">
      <c r="A42" s="11" t="s">
        <v>110</v>
      </c>
      <c r="B42" s="11"/>
      <c r="C42" s="11"/>
      <c r="D42" s="11"/>
      <c r="E42" s="11"/>
      <c r="F42" s="11"/>
      <c r="G42" s="11"/>
      <c r="H42" s="11"/>
      <c r="I42" s="11"/>
    </row>
    <row r="43" spans="1:9" x14ac:dyDescent="0.25">
      <c r="A43" s="11" t="s">
        <v>111</v>
      </c>
      <c r="B43" s="11"/>
      <c r="C43" s="11"/>
      <c r="D43" s="11"/>
      <c r="E43" s="11"/>
      <c r="F43" s="11"/>
      <c r="G43" s="11"/>
      <c r="H43" s="11"/>
      <c r="I43" s="11"/>
    </row>
    <row r="44" spans="1:9" x14ac:dyDescent="0.25">
      <c r="A44" s="11" t="s">
        <v>112</v>
      </c>
      <c r="B44" s="11"/>
      <c r="C44" s="11"/>
      <c r="D44" s="11"/>
      <c r="E44" s="11"/>
      <c r="F44" s="11"/>
      <c r="G44" s="11"/>
      <c r="H44" s="11"/>
      <c r="I44" s="11"/>
    </row>
    <row r="45" spans="1:9" x14ac:dyDescent="0.25">
      <c r="A45" s="11" t="s">
        <v>113</v>
      </c>
      <c r="B45" s="11"/>
      <c r="C45" s="11"/>
      <c r="D45" s="11"/>
      <c r="E45" s="11"/>
      <c r="F45" s="11"/>
      <c r="G45" s="11"/>
      <c r="H45" s="11"/>
      <c r="I45" s="11"/>
    </row>
    <row r="46" spans="1:9" x14ac:dyDescent="0.25">
      <c r="A46" s="11" t="s">
        <v>114</v>
      </c>
      <c r="B46" s="11"/>
      <c r="C46" s="11"/>
      <c r="D46" s="11"/>
      <c r="E46" s="11"/>
      <c r="F46" s="11"/>
      <c r="G46" s="11"/>
      <c r="H46" s="11"/>
      <c r="I46" s="11"/>
    </row>
  </sheetData>
  <mergeCells count="8">
    <mergeCell ref="A1:I1"/>
    <mergeCell ref="A2:I2"/>
    <mergeCell ref="A41:I41"/>
    <mergeCell ref="A42:I42"/>
    <mergeCell ref="A43:I43"/>
    <mergeCell ref="A44:I44"/>
    <mergeCell ref="A45:I45"/>
    <mergeCell ref="A46:I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4" customWidth="1"/>
    <col min="2" max="2" width="70" style="12" customWidth="1"/>
  </cols>
  <sheetData>
    <row r="1" spans="1:2" s="13" customFormat="1" x14ac:dyDescent="0.25">
      <c r="A1" s="13" t="s">
        <v>115</v>
      </c>
      <c r="B1" s="14" t="s">
        <v>116</v>
      </c>
    </row>
    <row r="3" spans="1:2" x14ac:dyDescent="0.25">
      <c r="A3" t="s">
        <v>117</v>
      </c>
      <c r="B3" s="12" t="s">
        <v>118</v>
      </c>
    </row>
    <row r="4" spans="1:2" x14ac:dyDescent="0.25">
      <c r="A4" t="s">
        <v>119</v>
      </c>
      <c r="B4" s="12" t="s">
        <v>120</v>
      </c>
    </row>
    <row r="5" spans="1:2" x14ac:dyDescent="0.25">
      <c r="A5" t="s">
        <v>121</v>
      </c>
      <c r="B5" s="12" t="s">
        <v>122</v>
      </c>
    </row>
    <row r="6" spans="1:2" x14ac:dyDescent="0.25">
      <c r="A6" t="s">
        <v>123</v>
      </c>
      <c r="B6" s="12" t="s">
        <v>124</v>
      </c>
    </row>
    <row r="7" spans="1:2" x14ac:dyDescent="0.25">
      <c r="A7" t="s">
        <v>125</v>
      </c>
      <c r="B7" s="12" t="s">
        <v>126</v>
      </c>
    </row>
    <row r="8" spans="1:2" x14ac:dyDescent="0.25">
      <c r="A8" t="s">
        <v>127</v>
      </c>
      <c r="B8" s="12" t="s">
        <v>128</v>
      </c>
    </row>
    <row r="9" spans="1:2" x14ac:dyDescent="0.25">
      <c r="A9" t="s">
        <v>129</v>
      </c>
      <c r="B9" s="12" t="s">
        <v>130</v>
      </c>
    </row>
    <row r="10" spans="1:2" x14ac:dyDescent="0.25">
      <c r="A10" t="s">
        <v>131</v>
      </c>
      <c r="B10" s="12" t="s">
        <v>132</v>
      </c>
    </row>
    <row r="11" spans="1:2" x14ac:dyDescent="0.25">
      <c r="A11" t="s">
        <v>133</v>
      </c>
      <c r="B11" s="12" t="s">
        <v>134</v>
      </c>
    </row>
    <row r="12" spans="1:2" x14ac:dyDescent="0.25">
      <c r="A12" t="s">
        <v>135</v>
      </c>
      <c r="B12" s="12" t="s">
        <v>136</v>
      </c>
    </row>
    <row r="13" spans="1:2" x14ac:dyDescent="0.25">
      <c r="A13" t="s">
        <v>137</v>
      </c>
      <c r="B13" s="12" t="s">
        <v>138</v>
      </c>
    </row>
    <row r="14" spans="1:2" x14ac:dyDescent="0.25">
      <c r="A14" t="s">
        <v>139</v>
      </c>
      <c r="B14" s="1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 Offer</vt:lpstr>
      <vt:lpstr>Compliance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Transpac Global Packaging (India) Pvt Ltd</dc:creator>
  <dc:title/>
  <dc:subject/>
  <dc:description/>
  <cp:keywords/>
  <cp:category/>
  <cp:lastModifiedBy>Unknown</cp:lastModifiedBy>
  <dcterms:created xsi:type="dcterms:W3CDTF">2026-09-30T15:06:33Z</dcterms:created>
  <dcterms:modified xsi:type="dcterms:W3CDTF">2026-09-30T15:06:33Z</dcterms:modified>
</cp:coreProperties>
</file>